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inc\OneDrive\Desktop\Physics\Final\"/>
    </mc:Choice>
  </mc:AlternateContent>
  <xr:revisionPtr revIDLastSave="0" documentId="13_ncr:1_{E332EEAA-063C-4D1C-9FAF-9A54FAF6D6BC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4" i="1" l="1"/>
  <c r="F34" i="1"/>
  <c r="G33" i="1"/>
  <c r="G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G36" i="1" l="1"/>
  <c r="G37" i="1" s="1"/>
</calcChain>
</file>

<file path=xl/sharedStrings.xml><?xml version="1.0" encoding="utf-8"?>
<sst xmlns="http://schemas.openxmlformats.org/spreadsheetml/2006/main" count="138" uniqueCount="135">
  <si>
    <t>Quantity</t>
  </si>
  <si>
    <t>References</t>
  </si>
  <si>
    <t>Value</t>
  </si>
  <si>
    <t>Code</t>
  </si>
  <si>
    <t>Cost</t>
  </si>
  <si>
    <t>R1</t>
  </si>
  <si>
    <t>2.2k</t>
  </si>
  <si>
    <t>CFR-12JB-52-2K2</t>
  </si>
  <si>
    <t>R2,R9,R12</t>
  </si>
  <si>
    <t>1k</t>
  </si>
  <si>
    <t>CFR-12JB-52-1K</t>
  </si>
  <si>
    <t>R3,R14</t>
  </si>
  <si>
    <t>470R</t>
  </si>
  <si>
    <t>CFR-12JB-52-470R</t>
  </si>
  <si>
    <t>R4,R6</t>
  </si>
  <si>
    <t>100R</t>
  </si>
  <si>
    <t>CFR-12JB-52-100R</t>
  </si>
  <si>
    <t>R5,R7</t>
  </si>
  <si>
    <t>10k</t>
  </si>
  <si>
    <t>CFR-12JB-52-10K</t>
  </si>
  <si>
    <t>R8</t>
  </si>
  <si>
    <t>220R</t>
  </si>
  <si>
    <t>CFR-12JB-52-220R</t>
  </si>
  <si>
    <t>R10</t>
  </si>
  <si>
    <t>33k</t>
  </si>
  <si>
    <t>CFR-12JB-52-33K</t>
  </si>
  <si>
    <t>R11</t>
  </si>
  <si>
    <t>3.3k</t>
  </si>
  <si>
    <t>CFR-12JB-52-3K3</t>
  </si>
  <si>
    <t>R13</t>
  </si>
  <si>
    <t>270R</t>
  </si>
  <si>
    <t>CFR-25JR-52-270R</t>
  </si>
  <si>
    <t>R16</t>
  </si>
  <si>
    <t>330R</t>
  </si>
  <si>
    <t>FMP100JR-52-330R</t>
  </si>
  <si>
    <t>C1</t>
  </si>
  <si>
    <t>100u</t>
  </si>
  <si>
    <t>ESK107M016AC3AA</t>
  </si>
  <si>
    <t>C2</t>
  </si>
  <si>
    <t>10u</t>
  </si>
  <si>
    <t>FK16X7R1C106K</t>
  </si>
  <si>
    <t>C3,C5,C6</t>
  </si>
  <si>
    <t>10n</t>
  </si>
  <si>
    <t>FG18X7R1H103KNT06</t>
  </si>
  <si>
    <t>C4</t>
  </si>
  <si>
    <t>100n</t>
  </si>
  <si>
    <t>FG18X7R1H104KNT06</t>
  </si>
  <si>
    <t>C7</t>
  </si>
  <si>
    <t>4.7n</t>
  </si>
  <si>
    <t>C8</t>
  </si>
  <si>
    <t>1u</t>
  </si>
  <si>
    <t>FG18X7R1E105KRT00</t>
  </si>
  <si>
    <t>C9,C10,C11,C12</t>
  </si>
  <si>
    <t>470u</t>
  </si>
  <si>
    <t>ESC477M035AH4AA</t>
  </si>
  <si>
    <t>C13,C14,C15</t>
  </si>
  <si>
    <t>MKP10-.1/400/5P15</t>
  </si>
  <si>
    <t>Q1</t>
  </si>
  <si>
    <t>BC327</t>
  </si>
  <si>
    <t>BC327-40-AP</t>
  </si>
  <si>
    <t>Q2</t>
  </si>
  <si>
    <t>IRFP260N</t>
  </si>
  <si>
    <t>IRFP260NPBF</t>
  </si>
  <si>
    <t>U1</t>
  </si>
  <si>
    <t>LM311N</t>
  </si>
  <si>
    <t>LM311N/NOPB</t>
  </si>
  <si>
    <t>U2</t>
  </si>
  <si>
    <t>NE555N</t>
  </si>
  <si>
    <t>NE555PE4</t>
  </si>
  <si>
    <t>D1</t>
  </si>
  <si>
    <t>1N4742</t>
  </si>
  <si>
    <t>1N4742A-T50A</t>
  </si>
  <si>
    <t>D2</t>
  </si>
  <si>
    <t>GREEN</t>
  </si>
  <si>
    <t>WP710A10PGT</t>
  </si>
  <si>
    <t>D3</t>
  </si>
  <si>
    <t>RED</t>
  </si>
  <si>
    <t>WP710A10ID</t>
  </si>
  <si>
    <t>D4</t>
  </si>
  <si>
    <t>1N4148</t>
  </si>
  <si>
    <t>B1</t>
  </si>
  <si>
    <t>BUTTON</t>
  </si>
  <si>
    <t>DC</t>
  </si>
  <si>
    <t>INPUT,OUTPUT</t>
  </si>
  <si>
    <t>CONN2-200</t>
  </si>
  <si>
    <t>RV1</t>
  </si>
  <si>
    <t>5k</t>
  </si>
  <si>
    <t>3296W-1-252LF</t>
  </si>
  <si>
    <t>SIGNAL</t>
  </si>
  <si>
    <t>RCA-JACK</t>
  </si>
  <si>
    <t>PJRAN1X1U02AUX</t>
  </si>
  <si>
    <t>Link</t>
  </si>
  <si>
    <t>Total</t>
  </si>
  <si>
    <t>CFR-12JB-52-1K YAGEO | Mouser</t>
  </si>
  <si>
    <t>CFR-12JB-52-2K2 YAGEO | Mouser India</t>
  </si>
  <si>
    <t>CFR-12JB-52-470R YAGEO | Mouser India</t>
  </si>
  <si>
    <t>CFR-12JB-52-100R YAGEO | Mouser India</t>
  </si>
  <si>
    <t>CFR-12JB-52-10K YAGEO | Mouser India</t>
  </si>
  <si>
    <t>CFR-12JB-52-220R YAGEO | Mouser India</t>
  </si>
  <si>
    <t>CFR-12JB-52-33K YAGEO | Mouser India</t>
  </si>
  <si>
    <t>CFR-12JB-52-3K3 YAGEO | Mouser India</t>
  </si>
  <si>
    <t>CFR-25JR-52-270R YAGEO | Mouser India</t>
  </si>
  <si>
    <t>FMP100JR-52-330R YAGEO | Mouser India</t>
  </si>
  <si>
    <t>ESK107M016AC3AA KEMET | Mouser India</t>
  </si>
  <si>
    <t>FK16X7R1C106K TDK | Mouser India</t>
  </si>
  <si>
    <t>FG18X7R1H103KNT06 TDK | Mouser India</t>
  </si>
  <si>
    <t>FG18X7R1H104KNT06 TDK | Mouser India</t>
  </si>
  <si>
    <t>FG28X7R1H472KNT06 TDK | Mouser India</t>
  </si>
  <si>
    <t>FG28X7R1H472KNT06</t>
  </si>
  <si>
    <t>FG18X7R1E105KRT00 TDK | Mouser India</t>
  </si>
  <si>
    <t>ESH477M035AL3AA KEMET | Mouser India</t>
  </si>
  <si>
    <t>MKP10-.1/400/5P15 WIMA | Mouser India</t>
  </si>
  <si>
    <t>BC327-40 Diotec Semiconductor | Mouser India</t>
  </si>
  <si>
    <t>IRFP260NPBF Infineon Technologies | Mouser India</t>
  </si>
  <si>
    <t>LM311N/NOPB Texas Instruments | Mouser India</t>
  </si>
  <si>
    <t>NE555PE4 Texas Instruments | Mouser India</t>
  </si>
  <si>
    <t>1N4742A-T50A onsemi | Mouser India</t>
  </si>
  <si>
    <t>WP710A10PGT Kingbright | Mouser India</t>
  </si>
  <si>
    <t>WP710A10ID Kingbright | Mouser India</t>
  </si>
  <si>
    <t>1N4148 onsemi | Mouser India</t>
  </si>
  <si>
    <t>PTS636SL43 LFS</t>
  </si>
  <si>
    <t>PTS636SL43 LFS C&amp;K | Mouser India</t>
  </si>
  <si>
    <t>TB007-508-02BE Same Sky | Mouser India</t>
  </si>
  <si>
    <t>3296W-1-252LF Bourns | Mouser India</t>
  </si>
  <si>
    <t>PJRAN1X1U02AUX Switchcraft | Mouser India</t>
  </si>
  <si>
    <t>Total (INR)</t>
  </si>
  <si>
    <t>Shipping</t>
  </si>
  <si>
    <t>Total (USD)</t>
  </si>
  <si>
    <t>Power</t>
  </si>
  <si>
    <t>24V 30A</t>
  </si>
  <si>
    <t>SMPS</t>
  </si>
  <si>
    <t>Transformer</t>
  </si>
  <si>
    <t>Flyback</t>
  </si>
  <si>
    <t>BSC25-T1010A</t>
  </si>
  <si>
    <t>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</si>
</sst>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F11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166" fontId="0" fillId="0" borderId="0" xfId="0" applyNumberFormat="1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2" fillId="0" borderId="0" xfId="2" applyFont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in/ProductDetail/TDK/FG18X7R1H103KNT06?qs=sGAEpiMZZMsh%252B1woXyUXj2I8eAiqPMPDobsvyMfyv4Y%3D" TargetMode="External"/><Relationship Id="rId18" Type="http://schemas.openxmlformats.org/officeDocument/2006/relationships/hyperlink" Target="https://www.mouser.in/ProductDetail/WIMA/MKP10-1-400-5P15?qs=ruR7qzrNb6g3VgX%252BWvHiGQ%3D%3D" TargetMode="External"/><Relationship Id="rId26" Type="http://schemas.openxmlformats.org/officeDocument/2006/relationships/hyperlink" Target="https://www.mouser.in/ProductDetail/onsemi/1N4148?qs=i4Fj9T%2FoRm8RMUhj5DeFQg%3D%3D" TargetMode="External"/><Relationship Id="rId3" Type="http://schemas.openxmlformats.org/officeDocument/2006/relationships/hyperlink" Target="https://www.mouser.in/ProductDetail/YAGEO/CFR-12JB-52-470R?qs=%2Fha2pyFaduguKzzNh3FFGhfDs4OOvhnWTwwBcnn%2FMObWfCDx0mlwug%3D%3D" TargetMode="External"/><Relationship Id="rId21" Type="http://schemas.openxmlformats.org/officeDocument/2006/relationships/hyperlink" Target="https://www.mouser.in/ProductDetail/Texas-Instruments/LM311N-NOPB?qs=X1J7HmVL2ZEW%2F3U%252B2FkA%2Fw%3D%3D" TargetMode="External"/><Relationship Id="rId7" Type="http://schemas.openxmlformats.org/officeDocument/2006/relationships/hyperlink" Target="https://www.mouser.in/ProductDetail/YAGEO/CFR-12JB-52-33K?qs=%2Fha2pyFaduguKzzNh3FFGtD5HMOaPBxnrTlnbsSj2Q0XkWIk8qu95g%3D%3D" TargetMode="External"/><Relationship Id="rId12" Type="http://schemas.openxmlformats.org/officeDocument/2006/relationships/hyperlink" Target="https://www.mouser.in/ProductDetail/TDK/FK16X7R1C106K?qs=sGAEpiMZZMvsSlwiRhF8qk5dk0Ff3GLt7CBGZPfzGBA%3D" TargetMode="External"/><Relationship Id="rId17" Type="http://schemas.openxmlformats.org/officeDocument/2006/relationships/hyperlink" Target="https://www.mouser.in/ProductDetail/KEMET/ESH477M035AL3AA?qs=sGAEpiMZZMukHu%252BjC5l7YQgQugTmc6cjprvY1xciEeM%3D" TargetMode="External"/><Relationship Id="rId25" Type="http://schemas.openxmlformats.org/officeDocument/2006/relationships/hyperlink" Target="https://www.mouser.in/ProductDetail/Kingbright/WP710A10ID?qs=wRBQ8ZgBZ98VyHeNIlWGkQ%3D%3D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mouser.in/ProductDetail/YAGEO/CFR-12JB-52-2K2?qs=%2Fha2pyFaduguKzzNh3FFGjcjeCrw6XLi7qO3fcp8uGAeTbdTW3NWpQ%3D%3D" TargetMode="External"/><Relationship Id="rId16" Type="http://schemas.openxmlformats.org/officeDocument/2006/relationships/hyperlink" Target="https://www.mouser.in/ProductDetail/TDK/FG18X7R1E105KRT00?qs=vNwBHymccZ%252B2%252BCnL09vDMw%3D%3D" TargetMode="External"/><Relationship Id="rId20" Type="http://schemas.openxmlformats.org/officeDocument/2006/relationships/hyperlink" Target="https://www.mouser.in/ProductDetail/Infineon-Technologies/IRFP260NPBF?qs=9%252BKlkBgLFf2Q0aoG2Yfqfg%3D%3D" TargetMode="External"/><Relationship Id="rId29" Type="http://schemas.openxmlformats.org/officeDocument/2006/relationships/hyperlink" Target="https://www.mouser.in/ProductDetail/Bourns/3296W-1-252LF?qs=VW5eOWd7Luy89Xw%2FKwu%2Fxg%3D%3D" TargetMode="External"/><Relationship Id="rId1" Type="http://schemas.openxmlformats.org/officeDocument/2006/relationships/hyperlink" Target="https://www.mouser.com/ProductDetail/YAGEO/CFR-12JB-52-1K?qs=8uyp%2Fy7yFW6RQpJpptx%2FjA%3D%3D" TargetMode="External"/><Relationship Id="rId6" Type="http://schemas.openxmlformats.org/officeDocument/2006/relationships/hyperlink" Target="https://www.mouser.in/ProductDetail/YAGEO/CFR-12JB-52-220R?qs=%2Fha2pyFaduguKzzNh3FFGsSiGs45uh5Vv%252B%2FtGQVnCAw44AoZD6pelQ%3D%3D" TargetMode="External"/><Relationship Id="rId11" Type="http://schemas.openxmlformats.org/officeDocument/2006/relationships/hyperlink" Target="https://www.mouser.in/ProductDetail/KEMET/ESK107M016AC3AA?qs=9RUIYXQlAdBlfkFfvuUkxQ%3D%3D" TargetMode="External"/><Relationship Id="rId24" Type="http://schemas.openxmlformats.org/officeDocument/2006/relationships/hyperlink" Target="https://www.mouser.in/ProductDetail/Kingbright/WP710A10PGT?qs=jBF9H7RTBaQqx0iDNHF17A%3D%3D" TargetMode="External"/><Relationship Id="rId32" Type="http://schemas.openxmlformats.org/officeDocument/2006/relationships/hyperlink" Target="https://amzn.in/d/0g0eCBQw" TargetMode="External"/><Relationship Id="rId5" Type="http://schemas.openxmlformats.org/officeDocument/2006/relationships/hyperlink" Target="https://www.mouser.in/ProductDetail/YAGEO/CFR-12JB-52-10K?qs=%2Fha2pyFaduguKzzNh3FFGoOqFe6wPpVia0lDknWpUfhFHYrSo8JXtQ%3D%3D" TargetMode="External"/><Relationship Id="rId15" Type="http://schemas.openxmlformats.org/officeDocument/2006/relationships/hyperlink" Target="https://www.mouser.in/ProductDetail/TDK/FG28X7R1H472KNT06?qs=qf2ddTMq67VHPU0W%252B3I8vg%3D%3D" TargetMode="External"/><Relationship Id="rId23" Type="http://schemas.openxmlformats.org/officeDocument/2006/relationships/hyperlink" Target="https://www.mouser.in/ProductDetail/onsemi/1N4742A-T50A?qs=0lQeLiL1qyaUl85kww6yHQ%3D%3D" TargetMode="External"/><Relationship Id="rId28" Type="http://schemas.openxmlformats.org/officeDocument/2006/relationships/hyperlink" Target="https://www.mouser.in/ProductDetail/Same-Sky/TB007-508-02BE?qs=sGAEpiMZZMvPvGwLNS671%2FDanv8Jav06gFn0LCcvzWQbXW5uAFVdMA%3D%3D" TargetMode="External"/><Relationship Id="rId10" Type="http://schemas.openxmlformats.org/officeDocument/2006/relationships/hyperlink" Target="https://www.mouser.in/ProductDetail/YAGEO/FMP100JR-52-330R?qs=sGAEpiMZZMukHu%252BjC5l7YU1KDXB2UgZE%252B9bionrPPGU%3D" TargetMode="External"/><Relationship Id="rId19" Type="http://schemas.openxmlformats.org/officeDocument/2006/relationships/hyperlink" Target="https://www.mouser.in/ProductDetail/Diotec-Semiconductor/BC327-40?qs=OlC7AqGiEDk3RFYgk5gWUg%3D%3D&amp;utm_id=506131562&amp;utm_marketing_tactic=apaccorp&amp;msclkid=3215ecd3c3141fd4a5d986d8d17fc729&amp;utm_source=bing&amp;utm_medium=cpc&amp;utm_campaign=Other%20Suppliers%20PDP%20DSA%20India&amp;utm_term=%2FProductDetail%2F&amp;utm_content=Other%20Suppliers%20PDP%20DSA" TargetMode="External"/><Relationship Id="rId31" Type="http://schemas.openxmlformats.org/officeDocument/2006/relationships/hyperlink" Target="https://www.electropi.in/24v-30amp-smps-720w-dc-metal-power-supply-nwp-india?gad_source=1&amp;gad_campaignid=23329895947&amp;gbraid=0AAAAA-s6SdUjZWr9YCGbH4icIqFa3hjFX&amp;gclid=CjwKCAjw8arQBhB9EiwAfIKdQgc_rpZojPv0Mygbbj7UUXyriQciigStOZzCfHfr27ALZGUfF0p5OhoCSjsQAvD_BwE" TargetMode="External"/><Relationship Id="rId4" Type="http://schemas.openxmlformats.org/officeDocument/2006/relationships/hyperlink" Target="https://www.mouser.in/ProductDetail/YAGEO/CFR-12JB-52-100R?qs=%2Fha2pyFaduguKzzNh3FFGvC3O2CWFCKi2%252BYSCrlUXeFESMknYkK4sw%3D%3D" TargetMode="External"/><Relationship Id="rId9" Type="http://schemas.openxmlformats.org/officeDocument/2006/relationships/hyperlink" Target="https://www.mouser.in/ProductDetail/YAGEO/CFR-25JR-52-270R?qs=%2Fha2pyFaduiUclxQMvctpKqdUEK9N9SZgQRfFyqRSpWhgFFU6kp0pQ%3D%3D" TargetMode="External"/><Relationship Id="rId14" Type="http://schemas.openxmlformats.org/officeDocument/2006/relationships/hyperlink" Target="https://www.mouser.in/ProductDetail/TDK/FG18X7R1H104KNT06?qs=qf2ddTMq67WA8sH6FratLA%3D%3D" TargetMode="External"/><Relationship Id="rId22" Type="http://schemas.openxmlformats.org/officeDocument/2006/relationships/hyperlink" Target="https://www.mouser.in/ProductDetail/Texas-Instruments/NE555PE4?qs=rLYyFdxB%2FmpV6UJXAtWXuA%3D%3D" TargetMode="External"/><Relationship Id="rId27" Type="http://schemas.openxmlformats.org/officeDocument/2006/relationships/hyperlink" Target="https://www.mouser.in/ProductDetail/CK/PTS636SL43-LFS?qs=jcD%2FCkGBYeOwjxNXDGvRDg%3D%3D" TargetMode="External"/><Relationship Id="rId30" Type="http://schemas.openxmlformats.org/officeDocument/2006/relationships/hyperlink" Target="https://www.mouser.in/ProductDetail/Switchcraft/PJRAN1X1U02AUX?qs=mcPJWgAPNrfnzxVPOaEt1A%3D%3D" TargetMode="External"/><Relationship Id="rId8" Type="http://schemas.openxmlformats.org/officeDocument/2006/relationships/hyperlink" Target="https://www.mouser.in/ProductDetail/YAGEO/CFR-12JB-52-3K3?qs=%2Fha2pyFaduguKzzNh3FFGvB2%2FXk%252BjjTJRDDA5bSJAXFTvRhEPLksL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8" workbookViewId="0">
      <selection activeCell="J36" sqref="J36"/>
    </sheetView>
  </sheetViews>
  <sheetFormatPr defaultRowHeight="14.25" x14ac:dyDescent="0.45"/>
  <cols>
    <col min="1" max="1" width="7.73046875" style="1" bestFit="1" customWidth="1"/>
    <col min="2" max="2" width="13.19921875" style="1" bestFit="1" customWidth="1"/>
    <col min="3" max="3" width="12.86328125" style="1" bestFit="1" customWidth="1"/>
    <col min="4" max="4" width="18.3984375" style="1" bestFit="1" customWidth="1"/>
    <col min="5" max="5" width="41.59765625" style="1" bestFit="1" customWidth="1"/>
    <col min="6" max="6" width="10.6640625" style="1" bestFit="1" customWidth="1"/>
    <col min="7" max="7" width="11.73046875" style="1" bestFit="1" customWidth="1"/>
    <col min="8" max="16384" width="9.06640625" style="1"/>
  </cols>
  <sheetData>
    <row r="1" spans="1: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91</v>
      </c>
      <c r="F1" s="2" t="s">
        <v>4</v>
      </c>
      <c r="G1" s="2" t="s">
        <v>92</v>
      </c>
    </row>
    <row r="2" spans="1:7" x14ac:dyDescent="0.45">
      <c r="A2" s="2">
        <v>5</v>
      </c>
      <c r="B2" s="2" t="s">
        <v>5</v>
      </c>
      <c r="C2" s="2" t="s">
        <v>6</v>
      </c>
      <c r="D2" s="2" t="s">
        <v>7</v>
      </c>
      <c r="E2" s="5" t="s">
        <v>94</v>
      </c>
      <c r="F2" s="3">
        <v>18.64</v>
      </c>
      <c r="G2" s="3">
        <f>F2*A2</f>
        <v>93.2</v>
      </c>
    </row>
    <row r="3" spans="1:7" x14ac:dyDescent="0.45">
      <c r="A3" s="2">
        <v>15</v>
      </c>
      <c r="B3" s="2" t="s">
        <v>8</v>
      </c>
      <c r="C3" s="2" t="s">
        <v>9</v>
      </c>
      <c r="D3" s="2" t="s">
        <v>10</v>
      </c>
      <c r="E3" s="5" t="s">
        <v>93</v>
      </c>
      <c r="F3" s="3">
        <v>8.39</v>
      </c>
      <c r="G3" s="3">
        <f t="shared" ref="G3:G31" si="0">F3*A3</f>
        <v>125.85000000000001</v>
      </c>
    </row>
    <row r="4" spans="1:7" x14ac:dyDescent="0.45">
      <c r="A4" s="2">
        <v>10</v>
      </c>
      <c r="B4" s="2" t="s">
        <v>11</v>
      </c>
      <c r="C4" s="2" t="s">
        <v>12</v>
      </c>
      <c r="D4" s="2" t="s">
        <v>13</v>
      </c>
      <c r="E4" s="5" t="s">
        <v>95</v>
      </c>
      <c r="F4" s="3">
        <v>8.39</v>
      </c>
      <c r="G4" s="3">
        <f t="shared" si="0"/>
        <v>83.9</v>
      </c>
    </row>
    <row r="5" spans="1:7" x14ac:dyDescent="0.45">
      <c r="A5" s="2">
        <v>10</v>
      </c>
      <c r="B5" s="2" t="s">
        <v>14</v>
      </c>
      <c r="C5" s="2" t="s">
        <v>15</v>
      </c>
      <c r="D5" s="2" t="s">
        <v>16</v>
      </c>
      <c r="E5" s="5" t="s">
        <v>96</v>
      </c>
      <c r="F5" s="3">
        <v>8.39</v>
      </c>
      <c r="G5" s="3">
        <f t="shared" si="0"/>
        <v>83.9</v>
      </c>
    </row>
    <row r="6" spans="1:7" x14ac:dyDescent="0.45">
      <c r="A6" s="2">
        <v>10</v>
      </c>
      <c r="B6" s="2" t="s">
        <v>17</v>
      </c>
      <c r="C6" s="2" t="s">
        <v>18</v>
      </c>
      <c r="D6" s="2" t="s">
        <v>19</v>
      </c>
      <c r="E6" s="5" t="s">
        <v>97</v>
      </c>
      <c r="F6" s="3">
        <v>8.39</v>
      </c>
      <c r="G6" s="3">
        <f t="shared" si="0"/>
        <v>83.9</v>
      </c>
    </row>
    <row r="7" spans="1:7" x14ac:dyDescent="0.45">
      <c r="A7" s="2">
        <v>5</v>
      </c>
      <c r="B7" s="2" t="s">
        <v>20</v>
      </c>
      <c r="C7" s="2" t="s">
        <v>21</v>
      </c>
      <c r="D7" s="2" t="s">
        <v>22</v>
      </c>
      <c r="E7" s="5" t="s">
        <v>98</v>
      </c>
      <c r="F7" s="3">
        <v>18.64</v>
      </c>
      <c r="G7" s="3">
        <f t="shared" si="0"/>
        <v>93.2</v>
      </c>
    </row>
    <row r="8" spans="1:7" x14ac:dyDescent="0.45">
      <c r="A8" s="2">
        <v>5</v>
      </c>
      <c r="B8" s="2" t="s">
        <v>23</v>
      </c>
      <c r="C8" s="2" t="s">
        <v>24</v>
      </c>
      <c r="D8" s="2" t="s">
        <v>25</v>
      </c>
      <c r="E8" s="5" t="s">
        <v>99</v>
      </c>
      <c r="F8" s="3">
        <v>18.64</v>
      </c>
      <c r="G8" s="3">
        <f t="shared" si="0"/>
        <v>93.2</v>
      </c>
    </row>
    <row r="9" spans="1:7" x14ac:dyDescent="0.45">
      <c r="A9" s="2">
        <v>5</v>
      </c>
      <c r="B9" s="2" t="s">
        <v>26</v>
      </c>
      <c r="C9" s="2" t="s">
        <v>27</v>
      </c>
      <c r="D9" s="2" t="s">
        <v>28</v>
      </c>
      <c r="E9" s="5" t="s">
        <v>100</v>
      </c>
      <c r="F9" s="3">
        <v>18.64</v>
      </c>
      <c r="G9" s="3">
        <f t="shared" si="0"/>
        <v>93.2</v>
      </c>
    </row>
    <row r="10" spans="1:7" x14ac:dyDescent="0.45">
      <c r="A10" s="2">
        <v>5</v>
      </c>
      <c r="B10" s="2" t="s">
        <v>29</v>
      </c>
      <c r="C10" s="2" t="s">
        <v>30</v>
      </c>
      <c r="D10" s="2" t="s">
        <v>31</v>
      </c>
      <c r="E10" s="5" t="s">
        <v>101</v>
      </c>
      <c r="F10" s="3">
        <v>9.32</v>
      </c>
      <c r="G10" s="3">
        <f t="shared" si="0"/>
        <v>46.6</v>
      </c>
    </row>
    <row r="11" spans="1:7" x14ac:dyDescent="0.45">
      <c r="A11" s="2">
        <v>5</v>
      </c>
      <c r="B11" s="2" t="s">
        <v>32</v>
      </c>
      <c r="C11" s="2" t="s">
        <v>33</v>
      </c>
      <c r="D11" s="2" t="s">
        <v>34</v>
      </c>
      <c r="E11" s="5" t="s">
        <v>102</v>
      </c>
      <c r="F11" s="3">
        <v>12.11</v>
      </c>
      <c r="G11" s="3">
        <f t="shared" si="0"/>
        <v>60.55</v>
      </c>
    </row>
    <row r="12" spans="1:7" x14ac:dyDescent="0.45">
      <c r="A12" s="2">
        <v>5</v>
      </c>
      <c r="B12" s="2" t="s">
        <v>35</v>
      </c>
      <c r="C12" s="2" t="s">
        <v>36</v>
      </c>
      <c r="D12" s="2" t="s">
        <v>37</v>
      </c>
      <c r="E12" s="5" t="s">
        <v>103</v>
      </c>
      <c r="F12" s="3">
        <v>17.7</v>
      </c>
      <c r="G12" s="3">
        <f t="shared" si="0"/>
        <v>88.5</v>
      </c>
    </row>
    <row r="13" spans="1:7" x14ac:dyDescent="0.45">
      <c r="A13" s="2">
        <v>5</v>
      </c>
      <c r="B13" s="2" t="s">
        <v>38</v>
      </c>
      <c r="C13" s="2" t="s">
        <v>39</v>
      </c>
      <c r="D13" s="2" t="s">
        <v>40</v>
      </c>
      <c r="E13" s="5" t="s">
        <v>104</v>
      </c>
      <c r="F13" s="3">
        <v>46.59</v>
      </c>
      <c r="G13" s="3">
        <f t="shared" si="0"/>
        <v>232.95000000000002</v>
      </c>
    </row>
    <row r="14" spans="1:7" x14ac:dyDescent="0.45">
      <c r="A14" s="2">
        <v>15</v>
      </c>
      <c r="B14" s="2" t="s">
        <v>41</v>
      </c>
      <c r="C14" s="2" t="s">
        <v>42</v>
      </c>
      <c r="D14" s="2" t="s">
        <v>43</v>
      </c>
      <c r="E14" s="5" t="s">
        <v>105</v>
      </c>
      <c r="F14" s="3">
        <v>8.67</v>
      </c>
      <c r="G14" s="3">
        <f t="shared" si="0"/>
        <v>130.05000000000001</v>
      </c>
    </row>
    <row r="15" spans="1:7" x14ac:dyDescent="0.45">
      <c r="A15" s="2">
        <v>5</v>
      </c>
      <c r="B15" s="2" t="s">
        <v>44</v>
      </c>
      <c r="C15" s="2" t="s">
        <v>45</v>
      </c>
      <c r="D15" s="2" t="s">
        <v>46</v>
      </c>
      <c r="E15" s="5" t="s">
        <v>106</v>
      </c>
      <c r="F15" s="3">
        <v>22.36</v>
      </c>
      <c r="G15" s="3">
        <f t="shared" si="0"/>
        <v>111.8</v>
      </c>
    </row>
    <row r="16" spans="1:7" x14ac:dyDescent="0.45">
      <c r="A16" s="2">
        <v>5</v>
      </c>
      <c r="B16" s="2" t="s">
        <v>47</v>
      </c>
      <c r="C16" s="2" t="s">
        <v>48</v>
      </c>
      <c r="D16" s="2" t="s">
        <v>108</v>
      </c>
      <c r="E16" s="5" t="s">
        <v>107</v>
      </c>
      <c r="F16" s="3">
        <v>20.5</v>
      </c>
      <c r="G16" s="3">
        <f t="shared" si="0"/>
        <v>102.5</v>
      </c>
    </row>
    <row r="17" spans="1:7" x14ac:dyDescent="0.45">
      <c r="A17" s="2">
        <v>5</v>
      </c>
      <c r="B17" s="2" t="s">
        <v>49</v>
      </c>
      <c r="C17" s="2" t="s">
        <v>50</v>
      </c>
      <c r="D17" s="2" t="s">
        <v>51</v>
      </c>
      <c r="E17" s="5" t="s">
        <v>109</v>
      </c>
      <c r="F17" s="3">
        <v>28.89</v>
      </c>
      <c r="G17" s="3">
        <f t="shared" si="0"/>
        <v>144.44999999999999</v>
      </c>
    </row>
    <row r="18" spans="1:7" x14ac:dyDescent="0.45">
      <c r="A18" s="2">
        <v>20</v>
      </c>
      <c r="B18" s="2" t="s">
        <v>52</v>
      </c>
      <c r="C18" s="2" t="s">
        <v>53</v>
      </c>
      <c r="D18" s="2" t="s">
        <v>54</v>
      </c>
      <c r="E18" s="5" t="s">
        <v>110</v>
      </c>
      <c r="F18" s="3">
        <v>34.85</v>
      </c>
      <c r="G18" s="3">
        <f t="shared" si="0"/>
        <v>697</v>
      </c>
    </row>
    <row r="19" spans="1:7" x14ac:dyDescent="0.45">
      <c r="A19" s="2">
        <v>15</v>
      </c>
      <c r="B19" s="2" t="s">
        <v>55</v>
      </c>
      <c r="C19" s="2" t="s">
        <v>45</v>
      </c>
      <c r="D19" s="2" t="s">
        <v>56</v>
      </c>
      <c r="E19" s="5" t="s">
        <v>111</v>
      </c>
      <c r="F19" s="3">
        <v>54.23</v>
      </c>
      <c r="G19" s="3">
        <f t="shared" si="0"/>
        <v>813.44999999999993</v>
      </c>
    </row>
    <row r="20" spans="1:7" x14ac:dyDescent="0.45">
      <c r="A20" s="2">
        <v>5</v>
      </c>
      <c r="B20" s="2" t="s">
        <v>57</v>
      </c>
      <c r="C20" s="2" t="s">
        <v>58</v>
      </c>
      <c r="D20" s="2" t="s">
        <v>59</v>
      </c>
      <c r="E20" s="5" t="s">
        <v>112</v>
      </c>
      <c r="F20" s="3">
        <v>15.84</v>
      </c>
      <c r="G20" s="3">
        <f t="shared" si="0"/>
        <v>79.2</v>
      </c>
    </row>
    <row r="21" spans="1:7" x14ac:dyDescent="0.45">
      <c r="A21" s="2">
        <v>5</v>
      </c>
      <c r="B21" s="2" t="s">
        <v>60</v>
      </c>
      <c r="C21" s="2" t="s">
        <v>61</v>
      </c>
      <c r="D21" s="2" t="s">
        <v>62</v>
      </c>
      <c r="E21" s="5" t="s">
        <v>113</v>
      </c>
      <c r="F21" s="3">
        <v>498.51</v>
      </c>
      <c r="G21" s="3">
        <f t="shared" si="0"/>
        <v>2492.5500000000002</v>
      </c>
    </row>
    <row r="22" spans="1:7" x14ac:dyDescent="0.45">
      <c r="A22" s="2">
        <v>5</v>
      </c>
      <c r="B22" s="2" t="s">
        <v>63</v>
      </c>
      <c r="C22" s="2" t="s">
        <v>64</v>
      </c>
      <c r="D22" s="2" t="s">
        <v>65</v>
      </c>
      <c r="E22" s="5" t="s">
        <v>114</v>
      </c>
      <c r="F22" s="3">
        <v>85.73</v>
      </c>
      <c r="G22" s="3">
        <f t="shared" si="0"/>
        <v>428.65000000000003</v>
      </c>
    </row>
    <row r="23" spans="1:7" x14ac:dyDescent="0.45">
      <c r="A23" s="2">
        <v>5</v>
      </c>
      <c r="B23" s="2" t="s">
        <v>66</v>
      </c>
      <c r="C23" s="2" t="s">
        <v>67</v>
      </c>
      <c r="D23" s="2" t="s">
        <v>68</v>
      </c>
      <c r="E23" s="5" t="s">
        <v>115</v>
      </c>
      <c r="F23" s="3">
        <v>109.02</v>
      </c>
      <c r="G23" s="3">
        <f t="shared" si="0"/>
        <v>545.1</v>
      </c>
    </row>
    <row r="24" spans="1:7" x14ac:dyDescent="0.45">
      <c r="A24" s="2">
        <v>5</v>
      </c>
      <c r="B24" s="2" t="s">
        <v>69</v>
      </c>
      <c r="C24" s="2" t="s">
        <v>70</v>
      </c>
      <c r="D24" s="2" t="s">
        <v>71</v>
      </c>
      <c r="E24" s="5" t="s">
        <v>116</v>
      </c>
      <c r="F24" s="3">
        <v>26.09</v>
      </c>
      <c r="G24" s="3">
        <f t="shared" si="0"/>
        <v>130.44999999999999</v>
      </c>
    </row>
    <row r="25" spans="1:7" x14ac:dyDescent="0.45">
      <c r="A25" s="2">
        <v>5</v>
      </c>
      <c r="B25" s="2" t="s">
        <v>72</v>
      </c>
      <c r="C25" s="2" t="s">
        <v>73</v>
      </c>
      <c r="D25" s="2" t="s">
        <v>74</v>
      </c>
      <c r="E25" s="5" t="s">
        <v>117</v>
      </c>
      <c r="F25" s="3">
        <v>25.16</v>
      </c>
      <c r="G25" s="3">
        <f t="shared" si="0"/>
        <v>125.8</v>
      </c>
    </row>
    <row r="26" spans="1:7" x14ac:dyDescent="0.45">
      <c r="A26" s="2">
        <v>5</v>
      </c>
      <c r="B26" s="2" t="s">
        <v>75</v>
      </c>
      <c r="C26" s="2" t="s">
        <v>76</v>
      </c>
      <c r="D26" s="2" t="s">
        <v>77</v>
      </c>
      <c r="E26" s="5" t="s">
        <v>118</v>
      </c>
      <c r="F26" s="3">
        <v>20.5</v>
      </c>
      <c r="G26" s="3">
        <f t="shared" si="0"/>
        <v>102.5</v>
      </c>
    </row>
    <row r="27" spans="1:7" x14ac:dyDescent="0.45">
      <c r="A27" s="2">
        <v>5</v>
      </c>
      <c r="B27" s="2" t="s">
        <v>78</v>
      </c>
      <c r="C27" s="2" t="s">
        <v>79</v>
      </c>
      <c r="D27" s="2" t="s">
        <v>79</v>
      </c>
      <c r="E27" s="5" t="s">
        <v>119</v>
      </c>
      <c r="F27" s="3">
        <v>9.32</v>
      </c>
      <c r="G27" s="3">
        <f t="shared" si="0"/>
        <v>46.6</v>
      </c>
    </row>
    <row r="28" spans="1:7" x14ac:dyDescent="0.45">
      <c r="A28" s="2">
        <v>5</v>
      </c>
      <c r="B28" s="2" t="s">
        <v>80</v>
      </c>
      <c r="C28" s="2" t="s">
        <v>81</v>
      </c>
      <c r="D28" s="2" t="s">
        <v>120</v>
      </c>
      <c r="E28" s="5" t="s">
        <v>121</v>
      </c>
      <c r="F28" s="3">
        <v>13.98</v>
      </c>
      <c r="G28" s="3">
        <f t="shared" si="0"/>
        <v>69.900000000000006</v>
      </c>
    </row>
    <row r="29" spans="1:7" x14ac:dyDescent="0.45">
      <c r="A29" s="2">
        <v>10</v>
      </c>
      <c r="B29" s="2" t="s">
        <v>82</v>
      </c>
      <c r="C29" s="2" t="s">
        <v>83</v>
      </c>
      <c r="D29" s="2" t="s">
        <v>84</v>
      </c>
      <c r="E29" s="5" t="s">
        <v>122</v>
      </c>
      <c r="F29" s="3">
        <v>35.78</v>
      </c>
      <c r="G29" s="3">
        <f t="shared" si="0"/>
        <v>357.8</v>
      </c>
    </row>
    <row r="30" spans="1:7" x14ac:dyDescent="0.45">
      <c r="A30" s="2">
        <v>5</v>
      </c>
      <c r="B30" s="2" t="s">
        <v>85</v>
      </c>
      <c r="C30" s="2" t="s">
        <v>86</v>
      </c>
      <c r="D30" s="2" t="s">
        <v>87</v>
      </c>
      <c r="E30" s="5" t="s">
        <v>123</v>
      </c>
      <c r="F30" s="3">
        <v>218.97</v>
      </c>
      <c r="G30" s="3">
        <f t="shared" si="0"/>
        <v>1094.8499999999999</v>
      </c>
    </row>
    <row r="31" spans="1:7" x14ac:dyDescent="0.45">
      <c r="A31" s="2">
        <v>5</v>
      </c>
      <c r="B31" s="2" t="s">
        <v>88</v>
      </c>
      <c r="C31" s="2" t="s">
        <v>89</v>
      </c>
      <c r="D31" s="2" t="s">
        <v>90</v>
      </c>
      <c r="E31" s="5" t="s">
        <v>124</v>
      </c>
      <c r="F31" s="3">
        <v>277.68</v>
      </c>
      <c r="G31" s="3">
        <f t="shared" si="0"/>
        <v>1388.4</v>
      </c>
    </row>
    <row r="32" spans="1:7" x14ac:dyDescent="0.45">
      <c r="A32" s="2">
        <v>1</v>
      </c>
      <c r="B32" s="2" t="s">
        <v>128</v>
      </c>
      <c r="C32" s="2" t="s">
        <v>129</v>
      </c>
      <c r="D32" s="2"/>
      <c r="E32" s="5" t="s">
        <v>130</v>
      </c>
      <c r="F32" s="3">
        <v>3999</v>
      </c>
      <c r="G32" s="3">
        <f t="shared" ref="G32" si="1">F32*A32</f>
        <v>3999</v>
      </c>
    </row>
    <row r="33" spans="1:7" x14ac:dyDescent="0.45">
      <c r="A33" s="2">
        <v>2</v>
      </c>
      <c r="B33" s="2" t="s">
        <v>131</v>
      </c>
      <c r="C33" s="2" t="s">
        <v>132</v>
      </c>
      <c r="D33" s="6" t="s">
        <v>133</v>
      </c>
      <c r="E33" s="5" t="s">
        <v>132</v>
      </c>
      <c r="F33" s="3">
        <v>499</v>
      </c>
      <c r="G33" s="3">
        <f t="shared" ref="G33" si="2">F33*A33</f>
        <v>998</v>
      </c>
    </row>
    <row r="34" spans="1:7" x14ac:dyDescent="0.45">
      <c r="A34" s="2">
        <v>5</v>
      </c>
      <c r="B34" s="2" t="s">
        <v>134</v>
      </c>
      <c r="C34" s="2"/>
      <c r="D34" s="6"/>
      <c r="E34" s="5"/>
      <c r="F34" s="3">
        <f>9.89/0.01</f>
        <v>989</v>
      </c>
      <c r="G34" s="3">
        <f>9.89/0.01</f>
        <v>989</v>
      </c>
    </row>
    <row r="35" spans="1:7" x14ac:dyDescent="0.45">
      <c r="A35" s="2"/>
      <c r="B35" s="2"/>
      <c r="C35" s="2"/>
      <c r="D35" s="2"/>
      <c r="E35" s="5"/>
      <c r="F35" s="3" t="s">
        <v>126</v>
      </c>
      <c r="G35" s="3">
        <v>1200</v>
      </c>
    </row>
    <row r="36" spans="1:7" x14ac:dyDescent="0.45">
      <c r="A36" s="2"/>
      <c r="B36" s="2"/>
      <c r="C36" s="2"/>
      <c r="D36" s="2"/>
      <c r="E36" s="2"/>
      <c r="F36" s="3" t="s">
        <v>125</v>
      </c>
      <c r="G36" s="3">
        <f>SUM(G2:G35)</f>
        <v>17226</v>
      </c>
    </row>
    <row r="37" spans="1:7" x14ac:dyDescent="0.45">
      <c r="A37" s="2"/>
      <c r="B37" s="2"/>
      <c r="C37" s="2"/>
      <c r="D37" s="2"/>
      <c r="E37" s="2"/>
      <c r="F37" s="2" t="s">
        <v>127</v>
      </c>
      <c r="G37" s="4">
        <f>G36*0.01</f>
        <v>172.26</v>
      </c>
    </row>
  </sheetData>
  <hyperlinks>
    <hyperlink ref="E3" r:id="rId1" display="https://www.mouser.com/ProductDetail/YAGEO/CFR-12JB-52-1K?qs=8uyp%2Fy7yFW6RQpJpptx%2FjA%3D%3D" xr:uid="{F70465EC-4FAF-41B1-98A2-8146799D79C4}"/>
    <hyperlink ref="E2" r:id="rId2" display="https://www.mouser.in/ProductDetail/YAGEO/CFR-12JB-52-2K2?qs=%2Fha2pyFaduguKzzNh3FFGjcjeCrw6XLi7qO3fcp8uGAeTbdTW3NWpQ%3D%3D" xr:uid="{BAA6C010-A805-436E-ADD7-532D891C4264}"/>
    <hyperlink ref="E4" r:id="rId3" display="https://www.mouser.in/ProductDetail/YAGEO/CFR-12JB-52-470R?qs=%2Fha2pyFaduguKzzNh3FFGhfDs4OOvhnWTwwBcnn%2FMObWfCDx0mlwug%3D%3D" xr:uid="{1149555C-BAE3-4E37-9742-D1EDBA1C6A5F}"/>
    <hyperlink ref="E5" r:id="rId4" display="https://www.mouser.in/ProductDetail/YAGEO/CFR-12JB-52-100R?qs=%2Fha2pyFaduguKzzNh3FFGvC3O2CWFCKi2%252BYSCrlUXeFESMknYkK4sw%3D%3D" xr:uid="{2A8A46AA-1204-4CD2-958B-05B6FCFB6DEF}"/>
    <hyperlink ref="E6" r:id="rId5" display="https://www.mouser.in/ProductDetail/YAGEO/CFR-12JB-52-10K?qs=%2Fha2pyFaduguKzzNh3FFGoOqFe6wPpVia0lDknWpUfhFHYrSo8JXtQ%3D%3D" xr:uid="{5ECF58E6-DA0C-4F4D-BCF4-76F4E3A3FB3A}"/>
    <hyperlink ref="E7" r:id="rId6" display="https://www.mouser.in/ProductDetail/YAGEO/CFR-12JB-52-220R?qs=%2Fha2pyFaduguKzzNh3FFGsSiGs45uh5Vv%252B%2FtGQVnCAw44AoZD6pelQ%3D%3D" xr:uid="{C4047B14-1A33-4C65-AB05-E60F40FF66D5}"/>
    <hyperlink ref="E8" r:id="rId7" display="https://www.mouser.in/ProductDetail/YAGEO/CFR-12JB-52-33K?qs=%2Fha2pyFaduguKzzNh3FFGtD5HMOaPBxnrTlnbsSj2Q0XkWIk8qu95g%3D%3D" xr:uid="{30EA8A8B-11A5-4C19-B32D-EE88AA4F4A6C}"/>
    <hyperlink ref="E9" r:id="rId8" display="https://www.mouser.in/ProductDetail/YAGEO/CFR-12JB-52-3K3?qs=%2Fha2pyFaduguKzzNh3FFGvB2%2FXk%252BjjTJRDDA5bSJAXFTvRhEPLksLg%3D%3D" xr:uid="{FF251FFA-A375-4AA8-B2F7-702BFF78C714}"/>
    <hyperlink ref="E10" r:id="rId9" display="https://www.mouser.in/ProductDetail/YAGEO/CFR-25JR-52-270R?qs=%2Fha2pyFaduiUclxQMvctpKqdUEK9N9SZgQRfFyqRSpWhgFFU6kp0pQ%3D%3D" xr:uid="{7397CBF9-4121-4FE8-8A80-4F13C0CBCB3A}"/>
    <hyperlink ref="E11" r:id="rId10" display="https://www.mouser.in/ProductDetail/YAGEO/FMP100JR-52-330R?qs=sGAEpiMZZMukHu%252BjC5l7YU1KDXB2UgZE%252B9bionrPPGU%3D" xr:uid="{2FEF3D9C-5811-4598-B476-5190CC32170A}"/>
    <hyperlink ref="E12" r:id="rId11" display="https://www.mouser.in/ProductDetail/KEMET/ESK107M016AC3AA?qs=9RUIYXQlAdBlfkFfvuUkxQ%3D%3D" xr:uid="{507365E5-3749-48D6-A291-C95B5FCD603C}"/>
    <hyperlink ref="E13" r:id="rId12" display="https://www.mouser.in/ProductDetail/TDK/FK16X7R1C106K?qs=sGAEpiMZZMvsSlwiRhF8qk5dk0Ff3GLt7CBGZPfzGBA%3D" xr:uid="{1CE878B8-09D8-4112-AEFF-CA39FE730CA1}"/>
    <hyperlink ref="E14" r:id="rId13" display="https://www.mouser.in/ProductDetail/TDK/FG18X7R1H103KNT06?qs=sGAEpiMZZMsh%252B1woXyUXj2I8eAiqPMPDobsvyMfyv4Y%3D" xr:uid="{6620BEB1-9233-47AA-AE03-0630139DEF60}"/>
    <hyperlink ref="E15" r:id="rId14" display="https://www.mouser.in/ProductDetail/TDK/FG18X7R1H104KNT06?qs=qf2ddTMq67WA8sH6FratLA%3D%3D" xr:uid="{DF187076-6D5B-40FF-9CF8-3F3364411482}"/>
    <hyperlink ref="E16" r:id="rId15" display="https://www.mouser.in/ProductDetail/TDK/FG28X7R1H472KNT06?qs=qf2ddTMq67VHPU0W%252B3I8vg%3D%3D" xr:uid="{0690B236-44ED-4376-BEF6-A806C400FA96}"/>
    <hyperlink ref="E17" r:id="rId16" display="https://www.mouser.in/ProductDetail/TDK/FG18X7R1E105KRT00?qs=vNwBHymccZ%252B2%252BCnL09vDMw%3D%3D" xr:uid="{E92D29F4-2DD4-48A9-BE25-83F567A3CE7A}"/>
    <hyperlink ref="E18" r:id="rId17" display="https://www.mouser.in/ProductDetail/KEMET/ESH477M035AL3AA?qs=sGAEpiMZZMukHu%252BjC5l7YQgQugTmc6cjprvY1xciEeM%3D" xr:uid="{61803381-57B4-4F9D-AF8A-F700270D3317}"/>
    <hyperlink ref="E19" r:id="rId18" display="https://www.mouser.in/ProductDetail/WIMA/MKP10-1-400-5P15?qs=ruR7qzrNb6g3VgX%252BWvHiGQ%3D%3D" xr:uid="{9EF7A07F-18E3-4759-9884-47F0F03459A5}"/>
    <hyperlink ref="E20" r:id="rId19" display="https://www.mouser.in/ProductDetail/Diotec-Semiconductor/BC327-40?qs=OlC7AqGiEDk3RFYgk5gWUg%3D%3D&amp;utm_id=506131562&amp;utm_marketing_tactic=apaccorp&amp;msclkid=3215ecd3c3141fd4a5d986d8d17fc729&amp;utm_source=bing&amp;utm_medium=cpc&amp;utm_campaign=Other%20Suppliers%20PDP%20DSA%20India&amp;utm_term=%2FProductDetail%2F&amp;utm_content=Other%20Suppliers%20PDP%20DSA" xr:uid="{512DCB44-3361-4CDE-BD23-986087B117B8}"/>
    <hyperlink ref="E21" r:id="rId20" display="https://www.mouser.in/ProductDetail/Infineon-Technologies/IRFP260NPBF?qs=9%252BKlkBgLFf2Q0aoG2Yfqfg%3D%3D" xr:uid="{B014E43E-4B03-4A84-8A50-FDA4EA936065}"/>
    <hyperlink ref="E22" r:id="rId21" display="https://www.mouser.in/ProductDetail/Texas-Instruments/LM311N-NOPB?qs=X1J7HmVL2ZEW%2F3U%252B2FkA%2Fw%3D%3D" xr:uid="{56F5FA9A-C037-4136-A7B4-5EA7245BDBCC}"/>
    <hyperlink ref="E23" r:id="rId22" display="https://www.mouser.in/ProductDetail/Texas-Instruments/NE555PE4?qs=rLYyFdxB%2FmpV6UJXAtWXuA%3D%3D" xr:uid="{2DF076EB-1D14-4692-BBDD-2D11FD055EFA}"/>
    <hyperlink ref="E24" r:id="rId23" display="https://www.mouser.in/ProductDetail/onsemi/1N4742A-T50A?qs=0lQeLiL1qyaUl85kww6yHQ%3D%3D" xr:uid="{B0CBECB1-8FE1-40D6-A4E9-BAE40A30B47E}"/>
    <hyperlink ref="E25" r:id="rId24" display="https://www.mouser.in/ProductDetail/Kingbright/WP710A10PGT?qs=jBF9H7RTBaQqx0iDNHF17A%3D%3D" xr:uid="{EE0D75E6-F084-4D3E-BBA1-D933F5A78117}"/>
    <hyperlink ref="E26" r:id="rId25" display="https://www.mouser.in/ProductDetail/Kingbright/WP710A10ID?qs=wRBQ8ZgBZ98VyHeNIlWGkQ%3D%3D" xr:uid="{5E381C90-11F5-461B-BAFF-93543FCDECC9}"/>
    <hyperlink ref="E27" r:id="rId26" display="https://www.mouser.in/ProductDetail/onsemi/1N4148?qs=i4Fj9T%2FoRm8RMUhj5DeFQg%3D%3D" xr:uid="{1F013A2B-A7F6-46AA-8BE7-DE55ED91EA91}"/>
    <hyperlink ref="E28" r:id="rId27" display="https://www.mouser.in/ProductDetail/CK/PTS636SL43-LFS?qs=jcD%2FCkGBYeOwjxNXDGvRDg%3D%3D" xr:uid="{16DC7363-9401-4790-AE86-C6E71BBED68B}"/>
    <hyperlink ref="E29" r:id="rId28" display="https://www.mouser.in/ProductDetail/Same-Sky/TB007-508-02BE?qs=sGAEpiMZZMvPvGwLNS671%2FDanv8Jav06gFn0LCcvzWQbXW5uAFVdMA%3D%3D" xr:uid="{43376E83-9E90-4A47-B1EA-2567955B7D18}"/>
    <hyperlink ref="E30" r:id="rId29" display="https://www.mouser.in/ProductDetail/Bourns/3296W-1-252LF?qs=VW5eOWd7Luy89Xw%2FKwu%2Fxg%3D%3D" xr:uid="{2C174B3A-6081-4FF6-A0B4-9008F8831C49}"/>
    <hyperlink ref="E31" r:id="rId30" display="https://www.mouser.in/ProductDetail/Switchcraft/PJRAN1X1U02AUX?qs=mcPJWgAPNrfnzxVPOaEt1A%3D%3D" xr:uid="{261CDB11-6ABC-40D7-A53A-336677A17864}"/>
    <hyperlink ref="E32" r:id="rId31" xr:uid="{747CEF6D-3F74-4619-A011-54F3191352BD}"/>
    <hyperlink ref="E33" r:id="rId32" xr:uid="{E6A44CB3-5C63-4C75-B633-7A54308C5D64}"/>
  </hyperlinks>
  <pageMargins left="0.7" right="0.7" top="0.75" bottom="0.75" header="0.3" footer="0.3"/>
  <pageSetup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Yadav</dc:creator>
  <cp:lastModifiedBy>Sandeep</cp:lastModifiedBy>
  <dcterms:created xsi:type="dcterms:W3CDTF">2015-06-05T18:17:20Z</dcterms:created>
  <dcterms:modified xsi:type="dcterms:W3CDTF">2026-05-18T13:40:44Z</dcterms:modified>
</cp:coreProperties>
</file>